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eazu\Downloads\"/>
    </mc:Choice>
  </mc:AlternateContent>
  <xr:revisionPtr revIDLastSave="0" documentId="8_{6A7A6FD5-B871-4B95-B38E-DD02C92ED12C}" xr6:coauthVersionLast="47" xr6:coauthVersionMax="47" xr10:uidLastSave="{00000000-0000-0000-0000-000000000000}"/>
  <bookViews>
    <workbookView xWindow="57480" yWindow="-90" windowWidth="29040" windowHeight="15720" tabRatio="500" xr2:uid="{00000000-000D-0000-FFFF-FFFF00000000}"/>
  </bookViews>
  <sheets>
    <sheet name="Contractor Track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15" i="1" l="1"/>
  <c r="H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000-000001000000}">
      <text>
        <r>
          <rPr>
            <sz val="10"/>
            <rFont val="Arial"/>
            <family val="2"/>
          </rPr>
          <t>Manitoba GST assumption used to estimate totals where a contractor quoted a pre-tax fee. Confirmed exact on Transcona's invoice (5%). Edit this cell to recalculate every estimated total below.</t>
        </r>
      </text>
    </comment>
  </commentList>
</comments>
</file>

<file path=xl/sharedStrings.xml><?xml version="1.0" encoding="utf-8"?>
<sst xmlns="http://schemas.openxmlformats.org/spreadsheetml/2006/main" count="136" uniqueCount="90">
  <si>
    <t>41 Paquin Road – Contractor Due Diligence Tracker</t>
  </si>
  <si>
    <t>Assumption:</t>
  </si>
  <si>
    <t>GST Rate</t>
  </si>
  <si>
    <t>(applied where a contractor's exact tax wasn't stated)</t>
  </si>
  <si>
    <t>Contractor</t>
  </si>
  <si>
    <t>Scope of Work</t>
  </si>
  <si>
    <t>Contact</t>
  </si>
  <si>
    <t>Phone / Email</t>
  </si>
  <si>
    <t>Quote – Low
(Pre-Tax, $)</t>
  </si>
  <si>
    <t>Quote – High
(Pre-Tax, $)</t>
  </si>
  <si>
    <t>Disbursements /
Other Fees ($)</t>
  </si>
  <si>
    <t>Est. Total – Low
($, incl. GST)</t>
  </si>
  <si>
    <t>Est. Total – High
($, incl. GST)</t>
  </si>
  <si>
    <t>Proposed / Confirmed Date</t>
  </si>
  <si>
    <t>Status</t>
  </si>
  <si>
    <t>Notes / Flags</t>
  </si>
  <si>
    <t>Transcona Roofing</t>
  </si>
  <si>
    <t>Commercial roof inspection</t>
  </si>
  <si>
    <t>Jackelynn Payne</t>
  </si>
  <si>
    <t>204-806-1517</t>
  </si>
  <si>
    <t>Jul 14 (completed) — DISPUTED</t>
  </si>
  <si>
    <t>Invoice #3513 due today (Jul 20), terms Due Upon Receipt. Princely disputed authorization for this inspection the same day — do not pay until resolved.</t>
  </si>
  <si>
    <t>MCW Consultants</t>
  </si>
  <si>
    <t>Mechanical/electrical engineering review</t>
  </si>
  <si>
    <t>Elliott Garfinkel / Cam Dahl</t>
  </si>
  <si>
    <t>ext. 237</t>
  </si>
  <si>
    <t>TBD (avail. ≈ 2 wks from Jul 6)</t>
  </si>
  <si>
    <t>Range Given – Final Fee Pending</t>
  </si>
  <si>
    <t>Estimated range excludes tax and disbursements (final fee depends on building size/complexity). Cam Dahl was to confirm the final fee and scheduling — no update received since Jul 10.</t>
  </si>
  <si>
    <t>HLC Consulting (PCA)</t>
  </si>
  <si>
    <t>Property Condition Assessment (ASTM E2018-24)</t>
  </si>
  <si>
    <t>Nathan Moschler</t>
  </si>
  <si>
    <t>204-290-1031</t>
  </si>
  <si>
    <t>Proposed Jul 23 PM or Jul 24 AM</t>
  </si>
  <si>
    <t>Proposal Received – Unsigned</t>
  </si>
  <si>
    <t>HLC Consulting (Phase I ESA)</t>
  </si>
  <si>
    <t>Environmental Site Assessment (CSA Z768-01)</t>
  </si>
  <si>
    <t>Fee includes an assumed $1,000 3rd-party ERIS search cost. Extra reliance letters are $450 each. Requires signed 'Agreement for Environmental Services' returned to Leo Camirand.</t>
  </si>
  <si>
    <t>Barnes &amp; Duncan</t>
  </si>
  <si>
    <t>Building Location Certificate + Additional Features</t>
  </si>
  <si>
    <t>Avery Bowen / Christian Korell</t>
  </si>
  <si>
    <t>204-284-5999</t>
  </si>
  <si>
    <t>Fieldwork starts 5 business days after authorization</t>
  </si>
  <si>
    <t>Estimate Received – Unsigned</t>
  </si>
  <si>
    <t>SCOPE FLAG: this covers a Building Location Certificate only — narrower than the boundary/easement/encroachment survey originally requested. Confirm scope before signing. Quote valid 30 days (≈ Aug 13).</t>
  </si>
  <si>
    <t>Jilmark Construction</t>
  </si>
  <si>
    <t>Design-build / GC pricing</t>
  </si>
  <si>
    <t>David Regehr-Wiens</t>
  </si>
  <si>
    <t>No fee yet; pending their review of site drawings/documents. Confirm whether the Jul 16 site visit actually took place, and request the fee.</t>
  </si>
  <si>
    <t>Castle Pest Control</t>
  </si>
  <si>
    <t>Pest inspection &amp; program plan</t>
  </si>
  <si>
    <t>James Girden</t>
  </si>
  <si>
    <t>431-999-2402</t>
  </si>
  <si>
    <t>Confirm whether the Jul 13 visit occurred; no quote received either way.</t>
  </si>
  <si>
    <t>Air-Rite Inc</t>
  </si>
  <si>
    <t>HVAC, refrigeration &amp; kitchen equipment review</t>
  </si>
  <si>
    <t>Ben Hueging</t>
  </si>
  <si>
    <t>TBD — awaiting our reply</t>
  </si>
  <si>
    <t>Awaiting Scope Answers</t>
  </si>
  <si>
    <t>Ben (back from vacation Jul 15) asked whether the plant is operating and for the exact scope of the review; said probably not until 'next week'. Needs a reply from our side.</t>
  </si>
  <si>
    <t>Parsus Engineering</t>
  </si>
  <si>
    <t>Facility/process engineering review (CFIA readiness)</t>
  </si>
  <si>
    <t>Alex Korotkov / Jesse Nugent</t>
  </si>
  <si>
    <t>TBD — awaiting callback</t>
  </si>
  <si>
    <t>Awaiting Callback</t>
  </si>
  <si>
    <t>Jesse Nugent (Sr. Mechanical/Process Engineer) tried calling Richard back on Jul 16 (204-336-6637) — call has not been returned yet.</t>
  </si>
  <si>
    <t>Phillips &amp; Stevens</t>
  </si>
  <si>
    <t>Survey certificate</t>
  </si>
  <si>
    <t>Wilson Phillips</t>
  </si>
  <si>
    <t>TBD — no response</t>
  </si>
  <si>
    <t>No Response</t>
  </si>
  <si>
    <t>Drawings and address sent Jul 10; no reply since on availability or fee.</t>
  </si>
  <si>
    <t>Beach Rocke Engineering</t>
  </si>
  <si>
    <t>Structural engineering assessment</t>
  </si>
  <si>
    <t>Roman Hudon</t>
  </si>
  <si>
    <t>N/A</t>
  </si>
  <si>
    <t>Declined</t>
  </si>
  <si>
    <t>Declined twice: first cited project timing, then said the building was too large for their office to take on.</t>
  </si>
  <si>
    <t>TOTAL — Quotes Received</t>
  </si>
  <si>
    <t>Status Key:</t>
  </si>
  <si>
    <t xml:space="preserve">  </t>
  </si>
  <si>
    <t>Quote / proposal / estimate received</t>
  </si>
  <si>
    <t>In progress — awaiting a response</t>
  </si>
  <si>
    <t>Stalled — no response, or date passed unconfirmed</t>
  </si>
  <si>
    <t>Needs attention — declined, or disputed/urgent</t>
  </si>
  <si>
    <t>Report as of July 20, 2026</t>
  </si>
  <si>
    <t>Invoiced Dispute Resolved</t>
  </si>
  <si>
    <t xml:space="preserve">Confirmed Jul 24, 9:30-11am </t>
  </si>
  <si>
    <t>Proposed Jul 24, 10am</t>
  </si>
  <si>
    <t xml:space="preserve"> No Fee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</si>
</sst>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3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name val="Arial"/>
      <family val="2"/>
    </font>
    <font>
      <i/>
      <sz val="14"/>
      <color rgb="FF1F4E78"/>
      <name val="Calibri"/>
      <family val="2"/>
      <scheme val="minor"/>
    </font>
    <font>
      <b/>
      <sz val="14"/>
      <color rgb="FF1F4E78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i/>
      <sz val="14"/>
      <color rgb="FF59595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4"/>
      <color rgb="FF9C65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595959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595959"/>
      <name val="Calibri"/>
      <family val="2"/>
      <scheme val="minor"/>
    </font>
    <font>
      <sz val="14"/>
      <color rgb="FF9C0006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9" fontId="8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/>
    <xf numFmtId="0" fontId="11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righ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right" vertical="center" wrapText="1"/>
    </xf>
    <xf numFmtId="164" fontId="11" fillId="2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Normal="100" workbookViewId="0">
      <pane ySplit="4" topLeftCell="A5" activePane="bottomLeft" state="frozen"/>
      <selection pane="bottomLeft" activeCell="G5" sqref="G5"/>
    </sheetView>
  </sheetViews>
  <sheetFormatPr defaultColWidth="8.6328125" defaultRowHeight="14.5" x14ac:dyDescent="0.35"/>
  <cols>
    <col min="1" max="1" width="20" customWidth="1"/>
    <col min="2" max="2" width="34" style="6" customWidth="1"/>
    <col min="3" max="3" width="25.36328125" bestFit="1" customWidth="1"/>
    <col min="4" max="4" width="20" customWidth="1"/>
    <col min="5" max="5" width="13" customWidth="1"/>
    <col min="6" max="6" width="15.453125" customWidth="1"/>
    <col min="7" max="8" width="15" customWidth="1"/>
    <col min="9" max="9" width="14.26953125" customWidth="1"/>
    <col min="10" max="10" width="24" customWidth="1"/>
    <col min="11" max="11" width="22" customWidth="1"/>
    <col min="12" max="12" width="48" customWidth="1"/>
  </cols>
  <sheetData>
    <row r="1" spans="1:12" ht="25.5" customHeight="1" x14ac:dyDescent="0.3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8" customHeight="1" x14ac:dyDescent="0.35">
      <c r="A2" s="10" t="s">
        <v>85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.5" x14ac:dyDescent="0.45">
      <c r="A3" s="11" t="s">
        <v>1</v>
      </c>
      <c r="B3" s="12" t="s">
        <v>2</v>
      </c>
      <c r="C3" s="13">
        <v>0.05</v>
      </c>
      <c r="D3" s="14" t="s">
        <v>3</v>
      </c>
      <c r="E3" s="15"/>
      <c r="F3" s="15"/>
      <c r="G3" s="15"/>
      <c r="H3" s="15"/>
      <c r="I3" s="15"/>
      <c r="J3" s="15"/>
      <c r="K3" s="15"/>
      <c r="L3" s="15"/>
    </row>
    <row r="4" spans="1:12" s="6" customFormat="1" ht="31.5" customHeight="1" x14ac:dyDescent="0.35">
      <c r="A4" s="16" t="s">
        <v>4</v>
      </c>
      <c r="B4" s="16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6" t="s">
        <v>14</v>
      </c>
      <c r="L4" s="16" t="s">
        <v>15</v>
      </c>
    </row>
    <row r="5" spans="1:12" ht="45.75" customHeight="1" x14ac:dyDescent="0.35">
      <c r="A5" s="17" t="s">
        <v>16</v>
      </c>
      <c r="B5" s="12" t="s">
        <v>17</v>
      </c>
      <c r="C5" s="12" t="s">
        <v>18</v>
      </c>
      <c r="D5" s="18" t="s">
        <v>19</v>
      </c>
      <c r="E5" s="19">
        <v>795</v>
      </c>
      <c r="F5" s="19">
        <v>795</v>
      </c>
      <c r="G5" s="19"/>
      <c r="H5" s="20">
        <f t="shared" ref="H5:H14" si="0">IF(E5="","",E5*(1+$C$3)+IF(G5="",0,G5))</f>
        <v>834.75</v>
      </c>
      <c r="I5" s="20">
        <f t="shared" ref="I5:I14" si="1">IF(F5="","",F5*(1+$C$3)+IF(G5="",0,G5))</f>
        <v>834.75</v>
      </c>
      <c r="J5" s="18" t="s">
        <v>20</v>
      </c>
      <c r="K5" s="21" t="s">
        <v>86</v>
      </c>
      <c r="L5" s="12" t="s">
        <v>21</v>
      </c>
    </row>
    <row r="6" spans="1:12" ht="45.75" customHeight="1" x14ac:dyDescent="0.35">
      <c r="A6" s="17" t="s">
        <v>22</v>
      </c>
      <c r="B6" s="12" t="s">
        <v>23</v>
      </c>
      <c r="C6" s="12" t="s">
        <v>24</v>
      </c>
      <c r="D6" s="18" t="s">
        <v>25</v>
      </c>
      <c r="E6" s="19">
        <v>6800</v>
      </c>
      <c r="F6" s="19">
        <v>10000</v>
      </c>
      <c r="G6" s="19"/>
      <c r="H6" s="20">
        <f t="shared" si="0"/>
        <v>7140</v>
      </c>
      <c r="I6" s="20">
        <f t="shared" si="1"/>
        <v>10500</v>
      </c>
      <c r="J6" s="18" t="s">
        <v>26</v>
      </c>
      <c r="K6" s="22" t="s">
        <v>27</v>
      </c>
      <c r="L6" s="12" t="s">
        <v>28</v>
      </c>
    </row>
    <row r="7" spans="1:12" ht="45.75" customHeight="1" x14ac:dyDescent="0.35">
      <c r="A7" s="17" t="s">
        <v>35</v>
      </c>
      <c r="B7" s="12" t="s">
        <v>36</v>
      </c>
      <c r="C7" s="12" t="s">
        <v>31</v>
      </c>
      <c r="D7" s="18" t="s">
        <v>32</v>
      </c>
      <c r="E7" s="19">
        <v>3700</v>
      </c>
      <c r="F7" s="19">
        <v>3700</v>
      </c>
      <c r="G7" s="19"/>
      <c r="H7" s="20">
        <f t="shared" si="0"/>
        <v>3885</v>
      </c>
      <c r="I7" s="20">
        <f t="shared" si="1"/>
        <v>3885</v>
      </c>
      <c r="J7" s="18" t="s">
        <v>33</v>
      </c>
      <c r="K7" s="23" t="s">
        <v>34</v>
      </c>
      <c r="L7" s="12" t="s">
        <v>37</v>
      </c>
    </row>
    <row r="8" spans="1:12" ht="62" customHeight="1" x14ac:dyDescent="0.35">
      <c r="A8" s="17" t="s">
        <v>38</v>
      </c>
      <c r="B8" s="12" t="s">
        <v>39</v>
      </c>
      <c r="C8" s="12" t="s">
        <v>40</v>
      </c>
      <c r="D8" s="18" t="s">
        <v>41</v>
      </c>
      <c r="E8" s="19">
        <v>2950</v>
      </c>
      <c r="F8" s="19">
        <v>2950</v>
      </c>
      <c r="G8" s="19">
        <v>53</v>
      </c>
      <c r="H8" s="20">
        <f t="shared" si="0"/>
        <v>3150.5</v>
      </c>
      <c r="I8" s="20">
        <f t="shared" si="1"/>
        <v>3150.5</v>
      </c>
      <c r="J8" s="18" t="s">
        <v>42</v>
      </c>
      <c r="K8" s="23" t="s">
        <v>43</v>
      </c>
      <c r="L8" s="12" t="s">
        <v>44</v>
      </c>
    </row>
    <row r="9" spans="1:12" ht="45.75" customHeight="1" x14ac:dyDescent="0.35">
      <c r="A9" s="17" t="s">
        <v>45</v>
      </c>
      <c r="B9" s="12" t="s">
        <v>46</v>
      </c>
      <c r="C9" s="12" t="s">
        <v>47</v>
      </c>
      <c r="D9" s="18"/>
      <c r="E9" s="19"/>
      <c r="F9" s="19"/>
      <c r="G9" s="19"/>
      <c r="H9" s="20" t="str">
        <f t="shared" si="0"/>
        <v/>
      </c>
      <c r="I9" s="20" t="str">
        <f t="shared" si="1"/>
        <v/>
      </c>
      <c r="J9" s="18" t="s">
        <v>87</v>
      </c>
      <c r="K9" s="24" t="s">
        <v>89</v>
      </c>
      <c r="L9" s="12" t="s">
        <v>48</v>
      </c>
    </row>
    <row r="10" spans="1:12" ht="45.75" customHeight="1" x14ac:dyDescent="0.35">
      <c r="A10" s="17" t="s">
        <v>49</v>
      </c>
      <c r="B10" s="12" t="s">
        <v>50</v>
      </c>
      <c r="C10" s="12" t="s">
        <v>51</v>
      </c>
      <c r="D10" s="18" t="s">
        <v>52</v>
      </c>
      <c r="E10" s="19"/>
      <c r="F10" s="19"/>
      <c r="G10" s="19"/>
      <c r="H10" s="20" t="str">
        <f t="shared" si="0"/>
        <v/>
      </c>
      <c r="I10" s="20" t="str">
        <f t="shared" si="1"/>
        <v/>
      </c>
      <c r="J10" s="18" t="s">
        <v>88</v>
      </c>
      <c r="K10" s="24" t="s">
        <v>89</v>
      </c>
      <c r="L10" s="12" t="s">
        <v>53</v>
      </c>
    </row>
    <row r="11" spans="1:12" ht="45.75" customHeight="1" x14ac:dyDescent="0.35">
      <c r="A11" s="17" t="s">
        <v>54</v>
      </c>
      <c r="B11" s="12" t="s">
        <v>55</v>
      </c>
      <c r="C11" s="12" t="s">
        <v>56</v>
      </c>
      <c r="D11" s="18"/>
      <c r="E11" s="19"/>
      <c r="F11" s="19"/>
      <c r="G11" s="19"/>
      <c r="H11" s="20" t="str">
        <f t="shared" si="0"/>
        <v/>
      </c>
      <c r="I11" s="20" t="str">
        <f t="shared" si="1"/>
        <v/>
      </c>
      <c r="J11" s="18" t="s">
        <v>57</v>
      </c>
      <c r="K11" s="22" t="s">
        <v>58</v>
      </c>
      <c r="L11" s="12" t="s">
        <v>59</v>
      </c>
    </row>
    <row r="12" spans="1:12" ht="45.75" customHeight="1" x14ac:dyDescent="0.35">
      <c r="A12" s="17" t="s">
        <v>60</v>
      </c>
      <c r="B12" s="12" t="s">
        <v>61</v>
      </c>
      <c r="C12" s="12" t="s">
        <v>62</v>
      </c>
      <c r="D12" s="18"/>
      <c r="E12" s="19"/>
      <c r="F12" s="19"/>
      <c r="G12" s="19"/>
      <c r="H12" s="20" t="str">
        <f t="shared" si="0"/>
        <v/>
      </c>
      <c r="I12" s="20" t="str">
        <f t="shared" si="1"/>
        <v/>
      </c>
      <c r="J12" s="18" t="s">
        <v>63</v>
      </c>
      <c r="K12" s="22" t="s">
        <v>64</v>
      </c>
      <c r="L12" s="12" t="s">
        <v>65</v>
      </c>
    </row>
    <row r="13" spans="1:12" ht="45.75" customHeight="1" x14ac:dyDescent="0.35">
      <c r="A13" s="17" t="s">
        <v>66</v>
      </c>
      <c r="B13" s="12" t="s">
        <v>67</v>
      </c>
      <c r="C13" s="12" t="s">
        <v>68</v>
      </c>
      <c r="D13" s="18"/>
      <c r="E13" s="19"/>
      <c r="F13" s="19"/>
      <c r="G13" s="19"/>
      <c r="H13" s="20" t="str">
        <f t="shared" si="0"/>
        <v/>
      </c>
      <c r="I13" s="20" t="str">
        <f t="shared" si="1"/>
        <v/>
      </c>
      <c r="J13" s="18" t="s">
        <v>69</v>
      </c>
      <c r="K13" s="24" t="s">
        <v>70</v>
      </c>
      <c r="L13" s="12" t="s">
        <v>71</v>
      </c>
    </row>
    <row r="14" spans="1:12" ht="45.75" customHeight="1" x14ac:dyDescent="0.35">
      <c r="A14" s="17" t="s">
        <v>72</v>
      </c>
      <c r="B14" s="12" t="s">
        <v>73</v>
      </c>
      <c r="C14" s="12" t="s">
        <v>74</v>
      </c>
      <c r="D14" s="18"/>
      <c r="E14" s="19"/>
      <c r="F14" s="19"/>
      <c r="G14" s="19"/>
      <c r="H14" s="20" t="str">
        <f t="shared" si="0"/>
        <v/>
      </c>
      <c r="I14" s="20" t="str">
        <f t="shared" si="1"/>
        <v/>
      </c>
      <c r="J14" s="18" t="s">
        <v>75</v>
      </c>
      <c r="K14" s="21" t="s">
        <v>76</v>
      </c>
      <c r="L14" s="12" t="s">
        <v>77</v>
      </c>
    </row>
    <row r="15" spans="1:12" ht="19.5" customHeight="1" x14ac:dyDescent="0.45">
      <c r="A15" s="25" t="s">
        <v>78</v>
      </c>
      <c r="B15" s="25"/>
      <c r="C15" s="25"/>
      <c r="D15" s="25"/>
      <c r="E15" s="25"/>
      <c r="F15" s="25"/>
      <c r="G15" s="25"/>
      <c r="H15" s="26">
        <f>SUM(H5:H14)</f>
        <v>15010.25</v>
      </c>
      <c r="I15" s="26">
        <f>SUM(I5:I14)</f>
        <v>18370.25</v>
      </c>
      <c r="J15" s="27"/>
      <c r="K15" s="27"/>
      <c r="L15" s="27"/>
    </row>
    <row r="16" spans="1:12" ht="18.5" x14ac:dyDescent="0.45">
      <c r="A16" s="28"/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ht="18.5" x14ac:dyDescent="0.45">
      <c r="A17" s="30" t="s">
        <v>79</v>
      </c>
      <c r="B17" s="29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ht="18.5" x14ac:dyDescent="0.45">
      <c r="A18" s="31" t="s">
        <v>80</v>
      </c>
      <c r="B18" s="32" t="s">
        <v>81</v>
      </c>
      <c r="C18" s="32"/>
      <c r="D18" s="32"/>
      <c r="E18" s="32"/>
      <c r="F18" s="28"/>
      <c r="G18" s="28"/>
      <c r="H18" s="28"/>
      <c r="I18" s="28"/>
      <c r="J18" s="28"/>
      <c r="K18" s="28"/>
      <c r="L18" s="28"/>
    </row>
    <row r="19" spans="1:12" ht="18.5" x14ac:dyDescent="0.45">
      <c r="A19" s="33" t="s">
        <v>80</v>
      </c>
      <c r="B19" s="34" t="s">
        <v>82</v>
      </c>
      <c r="C19" s="34"/>
      <c r="D19" s="34"/>
      <c r="E19" s="34"/>
      <c r="F19" s="28"/>
      <c r="G19" s="28"/>
      <c r="H19" s="28"/>
      <c r="I19" s="28"/>
      <c r="J19" s="28"/>
      <c r="K19" s="28"/>
      <c r="L19" s="28"/>
    </row>
    <row r="20" spans="1:12" ht="18.5" x14ac:dyDescent="0.45">
      <c r="A20" s="35" t="s">
        <v>80</v>
      </c>
      <c r="B20" s="36" t="s">
        <v>83</v>
      </c>
      <c r="C20" s="36"/>
      <c r="D20" s="36"/>
      <c r="E20" s="36"/>
      <c r="F20" s="28"/>
      <c r="G20" s="28"/>
      <c r="H20" s="28"/>
      <c r="I20" s="28"/>
      <c r="J20" s="28"/>
      <c r="K20" s="28"/>
      <c r="L20" s="28"/>
    </row>
    <row r="21" spans="1:12" ht="18.5" x14ac:dyDescent="0.45">
      <c r="A21" s="37" t="s">
        <v>80</v>
      </c>
      <c r="B21" s="38" t="s">
        <v>84</v>
      </c>
      <c r="C21" s="38"/>
      <c r="D21" s="38"/>
      <c r="E21" s="38"/>
      <c r="F21" s="28"/>
      <c r="G21" s="28"/>
      <c r="H21" s="28"/>
      <c r="I21" s="28"/>
      <c r="J21" s="28"/>
      <c r="K21" s="28"/>
      <c r="L21" s="28"/>
    </row>
    <row r="22" spans="1:12" ht="18.5" x14ac:dyDescent="0.45">
      <c r="A22" s="28"/>
      <c r="B22" s="29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2" ht="18.5" x14ac:dyDescent="0.45">
      <c r="A23" s="28"/>
      <c r="B23" s="29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 ht="18.5" x14ac:dyDescent="0.45">
      <c r="A24" s="28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2" ht="18.5" x14ac:dyDescent="0.45">
      <c r="A25" s="28"/>
      <c r="B25" s="29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ht="18.5" x14ac:dyDescent="0.45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1:12" ht="18.5" x14ac:dyDescent="0.45">
      <c r="A27" s="28"/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1:12" ht="18.5" x14ac:dyDescent="0.45">
      <c r="A28" s="28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1:12" ht="18.5" x14ac:dyDescent="0.45">
      <c r="A29" s="28"/>
      <c r="B29" s="29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1:12" ht="18.5" x14ac:dyDescent="0.45">
      <c r="A30" s="28"/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spans="1:12" ht="18.5" x14ac:dyDescent="0.45">
      <c r="A31" s="28"/>
      <c r="B31" s="29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 ht="18.5" x14ac:dyDescent="0.45">
      <c r="A32" s="28"/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12" ht="18.5" x14ac:dyDescent="0.45">
      <c r="A33" s="28"/>
      <c r="B33" s="29"/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1:12" ht="18.5" x14ac:dyDescent="0.45">
      <c r="A34" s="28"/>
      <c r="B34" s="29"/>
      <c r="C34" s="28"/>
      <c r="D34" s="28"/>
      <c r="E34" s="28"/>
      <c r="F34" s="28"/>
      <c r="G34" s="28"/>
      <c r="H34" s="28"/>
      <c r="I34" s="28"/>
      <c r="J34" s="28"/>
      <c r="K34" s="28"/>
      <c r="L34" s="28"/>
    </row>
  </sheetData>
  <mergeCells count="7">
    <mergeCell ref="B19:E19"/>
    <mergeCell ref="B20:E20"/>
    <mergeCell ref="B21:E21"/>
    <mergeCell ref="A1:L1"/>
    <mergeCell ref="A2:L2"/>
    <mergeCell ref="A15:G15"/>
    <mergeCell ref="B18:E18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2910-832E-43B1-B57E-F2033E4F450D}">
  <dimension ref="A1:C23"/>
  <sheetViews>
    <sheetView workbookViewId="0">
      <selection activeCell="A20" sqref="A20:B23"/>
    </sheetView>
  </sheetViews>
  <sheetFormatPr defaultColWidth="39.7265625" defaultRowHeight="30.5" customHeight="1" x14ac:dyDescent="0.35"/>
  <sheetData>
    <row r="1" spans="1:3" ht="30.5" customHeight="1" x14ac:dyDescent="0.35">
      <c r="A1" s="1" t="s">
        <v>4</v>
      </c>
      <c r="B1" s="1" t="s">
        <v>5</v>
      </c>
      <c r="C1" s="1" t="s">
        <v>6</v>
      </c>
    </row>
    <row r="2" spans="1:3" ht="30.5" customHeight="1" x14ac:dyDescent="0.35">
      <c r="A2" s="2" t="s">
        <v>16</v>
      </c>
      <c r="B2" s="3" t="s">
        <v>17</v>
      </c>
      <c r="C2" s="4" t="s">
        <v>18</v>
      </c>
    </row>
    <row r="3" spans="1:3" ht="30.5" customHeight="1" x14ac:dyDescent="0.35">
      <c r="A3" s="2" t="s">
        <v>22</v>
      </c>
      <c r="B3" s="3" t="s">
        <v>23</v>
      </c>
      <c r="C3" s="4" t="s">
        <v>24</v>
      </c>
    </row>
    <row r="4" spans="1:3" ht="30.5" customHeight="1" x14ac:dyDescent="0.35">
      <c r="A4" s="2" t="s">
        <v>29</v>
      </c>
      <c r="B4" s="3" t="s">
        <v>30</v>
      </c>
      <c r="C4" s="4" t="s">
        <v>31</v>
      </c>
    </row>
    <row r="5" spans="1:3" ht="30.5" customHeight="1" x14ac:dyDescent="0.35">
      <c r="A5" s="2" t="s">
        <v>35</v>
      </c>
      <c r="B5" s="3" t="s">
        <v>36</v>
      </c>
      <c r="C5" s="4" t="s">
        <v>31</v>
      </c>
    </row>
    <row r="6" spans="1:3" ht="30.5" customHeight="1" x14ac:dyDescent="0.35">
      <c r="A6" s="2" t="s">
        <v>38</v>
      </c>
      <c r="B6" s="3" t="s">
        <v>39</v>
      </c>
      <c r="C6" s="4" t="s">
        <v>40</v>
      </c>
    </row>
    <row r="7" spans="1:3" ht="30.5" customHeight="1" x14ac:dyDescent="0.35">
      <c r="A7" s="5" t="s">
        <v>45</v>
      </c>
      <c r="B7" s="3" t="s">
        <v>46</v>
      </c>
      <c r="C7" s="4" t="s">
        <v>47</v>
      </c>
    </row>
    <row r="8" spans="1:3" ht="30.5" customHeight="1" x14ac:dyDescent="0.35">
      <c r="A8" s="5" t="s">
        <v>49</v>
      </c>
      <c r="B8" s="3" t="s">
        <v>50</v>
      </c>
      <c r="C8" s="4" t="s">
        <v>51</v>
      </c>
    </row>
    <row r="9" spans="1:3" ht="30.5" customHeight="1" x14ac:dyDescent="0.35">
      <c r="A9" s="5" t="s">
        <v>54</v>
      </c>
      <c r="B9" s="3" t="s">
        <v>55</v>
      </c>
      <c r="C9" s="4" t="s">
        <v>56</v>
      </c>
    </row>
    <row r="10" spans="1:3" ht="30.5" customHeight="1" x14ac:dyDescent="0.35">
      <c r="A10" s="2" t="s">
        <v>60</v>
      </c>
      <c r="B10" s="3" t="s">
        <v>61</v>
      </c>
      <c r="C10" s="4" t="s">
        <v>62</v>
      </c>
    </row>
    <row r="11" spans="1:3" ht="30.5" customHeight="1" x14ac:dyDescent="0.35">
      <c r="A11" s="2" t="s">
        <v>66</v>
      </c>
      <c r="B11" s="3" t="s">
        <v>67</v>
      </c>
      <c r="C11" s="4" t="s">
        <v>68</v>
      </c>
    </row>
    <row r="12" spans="1:3" ht="30.5" customHeight="1" x14ac:dyDescent="0.35">
      <c r="A12" s="2" t="s">
        <v>72</v>
      </c>
      <c r="B12" s="3" t="s">
        <v>73</v>
      </c>
      <c r="C12" s="4" t="s">
        <v>74</v>
      </c>
    </row>
    <row r="20" spans="1:2" ht="30.5" customHeight="1" x14ac:dyDescent="0.35">
      <c r="A20" s="8" t="s">
        <v>4</v>
      </c>
      <c r="B20" s="8" t="s">
        <v>5</v>
      </c>
    </row>
    <row r="21" spans="1:2" ht="30.5" customHeight="1" x14ac:dyDescent="0.35">
      <c r="A21" s="9" t="s">
        <v>45</v>
      </c>
      <c r="B21" s="7" t="s">
        <v>46</v>
      </c>
    </row>
    <row r="22" spans="1:2" ht="30.5" customHeight="1" x14ac:dyDescent="0.35">
      <c r="A22" s="9" t="s">
        <v>49</v>
      </c>
      <c r="B22" s="7" t="s">
        <v>50</v>
      </c>
    </row>
    <row r="23" spans="1:2" ht="30.5" customHeight="1" x14ac:dyDescent="0.35">
      <c r="A23" s="9" t="s">
        <v>54</v>
      </c>
      <c r="B23" s="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Contractor 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Eleazu Princely</cp:lastModifiedBy>
  <cp:revision>0</cp:revision>
  <dcterms:created xsi:type="dcterms:W3CDTF">2026-07-20T20:41:20Z</dcterms:created>
  <dcterms:modified xsi:type="dcterms:W3CDTF">2026-07-22T18:38:48Z</dcterms:modified>
  <dc:language>en-US</dc:language>
</cp:coreProperties>
</file>